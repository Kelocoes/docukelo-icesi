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adorF" sheetId="1" r:id="rId4"/>
    <sheet state="visible" name="Cloudflare" sheetId="2" r:id="rId5"/>
    <sheet state="visible" name="Glosario" sheetId="3" r:id="rId6"/>
  </sheets>
  <definedNames>
    <definedName hidden="1" localSheetId="0" name="Z_72C78542_99FA_4596_8CFB_AF0C27BE5FDD_.wvu.FilterData">PlaneadorF!$A$5:$K$36</definedName>
  </definedNames>
  <calcPr/>
  <customWorkbookViews>
    <customWorkbookView activeSheetId="0" maximized="1" windowHeight="0" windowWidth="0" guid="{72C78542-99FA-4596-8CFB-AF0C27BE5FDD}" name="Table1_2 filter view"/>
  </customWorkbookViews>
  <extLst>
    <ext uri="GoogleSheetsCustomDataVersion2">
      <go:sheetsCustomData xmlns:go="http://customooxmlschemas.google.com/" r:id="rId7" roundtripDataChecksum="pZfCid2iqpzdiM/xVNZz9p8JzlETjWzR2ANuRUJeJPI="/>
    </ext>
  </extLst>
</workbook>
</file>

<file path=xl/sharedStrings.xml><?xml version="1.0" encoding="utf-8"?>
<sst xmlns="http://schemas.openxmlformats.org/spreadsheetml/2006/main" count="589" uniqueCount="145">
  <si>
    <t>Departamento</t>
  </si>
  <si>
    <t>Sigla Departamento</t>
  </si>
  <si>
    <t>Departamento de Computación y Sistemas Inteligentes</t>
  </si>
  <si>
    <t>Nombre Departamento</t>
  </si>
  <si>
    <t>DCSI</t>
  </si>
  <si>
    <t>DDI</t>
  </si>
  <si>
    <t>Departamento de Diseño e Innovación</t>
  </si>
  <si>
    <t>DCFEE</t>
  </si>
  <si>
    <t>Departamento de Ciencias Físicas, Exactas y Energía</t>
  </si>
  <si>
    <t>DING</t>
  </si>
  <si>
    <t>Departamento de Industria Sostenible</t>
  </si>
  <si>
    <t>DCBBB</t>
  </si>
  <si>
    <t>Departamento de Ciencias Biológicas, Bioprocesos y Biotecnología</t>
  </si>
  <si>
    <t>DCFBV</t>
  </si>
  <si>
    <t>Departamento de Ciencias Farmacéuticas, Biomédicas y Veterinarias</t>
  </si>
  <si>
    <t>Curso</t>
  </si>
  <si>
    <t>Seminario de Ingeniería de Software</t>
  </si>
  <si>
    <t>Tipo de actividad</t>
  </si>
  <si>
    <t>Descripción</t>
  </si>
  <si>
    <t>Créditos</t>
  </si>
  <si>
    <t>En clase</t>
  </si>
  <si>
    <t>Actividades del curso que se desarrollan de manera sincrónica (presencial o virtual) con los estudiantes (trabajo directo).</t>
  </si>
  <si>
    <t>Fuera de clase</t>
  </si>
  <si>
    <t>Actividades del curso que se desarrollan por fuera del aula de clase (estudio independiente), por ejemplo: actividades de preparación, asignaciones y tareas.</t>
  </si>
  <si>
    <t>Unidad</t>
  </si>
  <si>
    <t>Sesión</t>
  </si>
  <si>
    <t>Naturaleza de actividad</t>
  </si>
  <si>
    <t>Tema</t>
  </si>
  <si>
    <t>Actividades</t>
  </si>
  <si>
    <t>Tipo de la actividad (seleccione un tipo)</t>
  </si>
  <si>
    <t>Horas dedicadas</t>
  </si>
  <si>
    <t xml:space="preserve">Resultados de aprendizaje del curso implicados
(objetivos terminales) </t>
  </si>
  <si>
    <t>Resultados de aprendizaje del programa implicados
(performance indicators)</t>
  </si>
  <si>
    <t>Formativa</t>
  </si>
  <si>
    <t>Naturaleza de la actividad (seleccione un tipo)</t>
  </si>
  <si>
    <t>Se enseña a los estudiantes a usar, dentro de un contexto profesional específco, herramientas de IAG para potenciar ciertas competencias. No necesariamente implica una nota. Por ejemplo, con base en una entrevista a un usuario final, el estudiante aprende a usar una IAG para especificar requerimientos funcionales que cumplan los criterios INVEST.</t>
  </si>
  <si>
    <t>Nivel de IAG según el AIAS (seleccione un nivel)</t>
  </si>
  <si>
    <t>Tecnologías o herramientas de IAG empleada</t>
  </si>
  <si>
    <t>Formativa en IAG</t>
  </si>
  <si>
    <t>Se enseña a los estudiantes a usar herramientas o tecnologías de IAG. No necesariamente implica una nota. Por ejemplo, desarrollar mejores prompts, crear asistentes, usar una tecnología IAG en particular.</t>
  </si>
  <si>
    <t>Unidad 4</t>
  </si>
  <si>
    <t>Evaluativa</t>
  </si>
  <si>
    <t>Se mide el desempeño de los estudiantes respecto al nivel de competencia esperado. La actividad o sus rúbricas de evaluación no incluyen un componente de evaluación sobre el uso de IAG.</t>
  </si>
  <si>
    <t>Evaluativa en IAG</t>
  </si>
  <si>
    <t>Entorno y primera aplicación</t>
  </si>
  <si>
    <t>Se mide el desempeño de los estudiantes en el uso de herramientas o tecnologías de IAG. La actividad o sus rúbricas de evaluación incluyen explícitamente un componente de evaluación sobre el uso de IAG.</t>
  </si>
  <si>
    <t>Presentación de los profesores y de las unidades 3 y 4.
Qué es el desarrollo frontend multiplataforma y en qué se diferencia de lo que han visto.
Instalación del SDK, el editor y el emulador.
Primera aplicación y ejecución del hola mundo.</t>
  </si>
  <si>
    <t>RA4</t>
  </si>
  <si>
    <t>SO-7</t>
  </si>
  <si>
    <t>Nivel de IAG según el AIAS</t>
  </si>
  <si>
    <t>Nivel 1 - Sin IAG</t>
  </si>
  <si>
    <t>Ninguna</t>
  </si>
  <si>
    <t>No se permite el uso de IAG en ninguna parte de la actividad formativa o evaluación.</t>
  </si>
  <si>
    <t>Nivel 2 - Planeación</t>
  </si>
  <si>
    <t>Dejar el entorno verificado, corriendo la aplicación de ejemplo en un emulador o dispositivo propio.</t>
  </si>
  <si>
    <t>Se permite el uso de IAG solo en la fase de planificación (ideas, esquemas).</t>
  </si>
  <si>
    <t>Nivel 3 - Colaboración</t>
  </si>
  <si>
    <t>Componentes</t>
  </si>
  <si>
    <t>Los estudiantes pueden usar IAG para revisar, editar o mejorar sus borradores o ideas iniciales.</t>
  </si>
  <si>
    <t>Recorrido por main.dart y por la estructura de carpetas del proyecto.
Paradigma declarativo frente a imperativo: la interfaz como función del estado.
Widgets básicos: Text, Image (asset y network) y botones.
Concepto de componente como pieza reutilizable de interfaz.
Taller: cada estudiante arma componentes Stateless y los monta en una pantalla para verlos.</t>
  </si>
  <si>
    <t>SO-1</t>
  </si>
  <si>
    <t>Nivel 4 - Uso pleno</t>
  </si>
  <si>
    <t>La IAG es parte integral del desarrollo de la tarea (uso estratégico durante todo el proceso).</t>
  </si>
  <si>
    <t>Presentación de los profesores y de las unidades 3 y 4.
Qué es el desarrollo frontend multiplataforma y en qué se diferencia de lo que han visto.
Instalación del SDK, el editor y el emulador.
Primera aplicación y ejecución del hola mundo.
Instalar entorno supabase</t>
  </si>
  <si>
    <t>Terminar los componentes del taller: son el insumo del taller de la sesión 19.</t>
  </si>
  <si>
    <t>Nivel 5 - Exploración</t>
  </si>
  <si>
    <t>Se incentiva la exploración innovadora de la IAG como parte del producto evaluado.</t>
  </si>
  <si>
    <t>Pantallas con componentes</t>
  </si>
  <si>
    <t>Scaffold y SafeArea como andamiaje de una pantalla.
Composición: armar una pantalla a partir de componentes propios.
Layout con Column, Row, Expanded, Container, Padding y SingleChildScrollView.
Convención Screen frente a Page: la Screen tiene Scaffold y se navega; la Page la hospeda una Screen.
Taller: armar dos pantallas del reto con componentes propios y suministrados.</t>
  </si>
  <si>
    <t>SO-1, SO-2</t>
  </si>
  <si>
    <t>Lectura sobre la construcción de archivos de contexto para agentes (CLAUDE.md / AGENTS.md).</t>
  </si>
  <si>
    <t>RA3</t>
  </si>
  <si>
    <t>Unidad 3</t>
  </si>
  <si>
    <t>El agente en consola y el archivo de contexto</t>
  </si>
  <si>
    <t>Asistentes de IA en consola: qué son y cómo se opera con ellos.
Modos de operación y niveles de autonomía.
Gestión del contexto: qué ve el agente y por qué eso determina la calidad de lo que produce.
Construcción del primer CLAUDE.md/AGENTS.md con /init: propósito, estructura, cómo ejecutar, convenciones y reglas para los agentes.
El archivo de contexto es un documento vivo: conciso, y se completa a lo largo del curso.</t>
  </si>
  <si>
    <t>Asistente de IA en consola</t>
  </si>
  <si>
    <t>Completar el CLAUDE.md del repositorio del equipo con las convenciones acordadas.</t>
  </si>
  <si>
    <t>Skills: extender el agente</t>
  </si>
  <si>
    <t>Skills: qué son, cómo se instalan y cómo se invocan. Instalación de la skill de Flutter.
Taller: generar una pantalla asistido por IA y auditarla contra el contrato del CLAUDE.md.
Qué se corrige a mano y qué se corrige ajustando el contrato.</t>
  </si>
  <si>
    <t>RA3, RA4</t>
  </si>
  <si>
    <t>SO-2, SO-7</t>
  </si>
  <si>
    <t>Asistente de IA en consola, skills</t>
  </si>
  <si>
    <t>Propuesta de la aplicación del reto y diseño no funcional en Stitch y Figma, respetando el contrato mínimo común.</t>
  </si>
  <si>
    <t>SO-2, SO-3</t>
  </si>
  <si>
    <t>Stitch, Figma, asistente de IA en consola</t>
  </si>
  <si>
    <t>Stateful widget y setState</t>
  </si>
  <si>
    <t>Stateless frente a Stateful: por qué el estado vive en el objeto State y no en el widget.
El árbol de widgets y su reconstrucción: qué hace setState y qué subárbol se vuelve a construir (con un print en build para ver cuándo se reconstruye).
Ciclo de vida: initState y dispose, con el TextEditingController como caso típico.
Contador hola mundo sobre estados.
Taller de dos sesiones, parte 1: agenda de contactos no persistente, resuelta como una sola pantalla con todo el estado adentro. Se continúa en la sesión 23.</t>
  </si>
  <si>
    <t>Dar estado a un formulario de la aplicación del equipo, con su controller y su dispose.</t>
  </si>
  <si>
    <t>Elevación de estado y funciones como parámetro</t>
  </si>
  <si>
    <t>Se retoma la agenda de la sesión 22, con todo el estado y toda la interfaz en un solo archivo, y de ahí sale la elevación de estado: el estado sube a la Screen anfitriona y los componentes lo reciben por constructor.
Funciones como parámetro: el hijo reporta hacia arriba con un callback, sin conocer al padre.
Prop drilling: qué es, hasta dónde es aceptable y qué señal da cuando empieza a doler.
Modelos simples con copyWith para mover estado sin mutarlo.
Taller de dos sesiones, parte 2: refactorizar la agenda separando la lista y el formulario como componentes, con el estado en la Screen y la comunicación por callbacks.</t>
  </si>
  <si>
    <t>Reorganizar la aplicación del equipo para que el estado viva en la Screen y las Pages reporten con callbacks.</t>
  </si>
  <si>
    <t>Navegación entre pantallas</t>
  </si>
  <si>
    <t>Navegación con Navigator y tabla de rutas nombradas en MaterialApp.
pushNamed para abrir una pantalla y pop para volver.
pushNamedAndRemoveUntil para rehacer la pila, con el predicado (route) =&gt; false.
Paso de datos a la pantalla nueva y retorno de un resultado al cerrarla.</t>
  </si>
  <si>
    <t>Dejar navegable el prototipo del equipo, con datos simulados. Se sustenta en la sesión 25.</t>
  </si>
  <si>
    <t>SO-2</t>
  </si>
  <si>
    <t>Navegación con bottom navigation bar</t>
  </si>
  <si>
    <t>Entrega parcial 1 (aprox. 25 min): prototipo de interfaz con pantallas, estado y navegación, 3 minutos por equipo.
Navegación horizontal con BottomNavigationBar: una Screen anfitriona que cambia de Page según un índice guardado en el estado.
Cambiar de tab es setState y abrir un detalle es push: cuándo usar cada uno.</t>
  </si>
  <si>
    <t>Terminar la navegación por secciones de la aplicación del equipo.</t>
  </si>
  <si>
    <t>Spec Driven Development</t>
  </si>
  <si>
    <t>Spec Driven Development en su nivel inicial: la spec como contrato antes del código.
El sistema de trabajo completo: estructura del proyecto, agentes, skills, servidores MCP y workflows.
Skills de generación y de crítica de specs.
Versionamiento de las specs y seguimiento de cuáles están implementadas y cuáles no.</t>
  </si>
  <si>
    <t>Asistente de IA en consola, skills, servidores MCP</t>
  </si>
  <si>
    <t>Escribir la spec del backend y el modelo de datos mínimo, y dejar creado el proyecto en Cloudflare con su esquema.</t>
  </si>
  <si>
    <t>Asistente de IA en consola, skills, servidor MCP de Cloudflare</t>
  </si>
  <si>
    <t>Unidades 3 y 4</t>
  </si>
  <si>
    <t>Servicio de base de datos</t>
  </si>
  <si>
    <t>Conexión de la aplicación con Cloudflare usando un cliente HTTP contra el Worker: llaves y variables de entorno.
La capa de servicio como frontera entre la interfaz y la base de datos D1.
CRUD por el API en Workers: listar, ver el detalle, crear, editar y borrar.
Estados de la interfaz frente a una operación asíncrona: cargando, vacío y error.
la capa de API se escribe a mano en el Worker, con enrutamiento y consultas SQL parametrizadas.</t>
  </si>
  <si>
    <t>Conectar el listado y el detalle de la aplicación del equipo a datos reales.</t>
  </si>
  <si>
    <t>Servicio de autenticación</t>
  </si>
  <si>
    <t>Registro, inicio y cierre de sesión con una autenticación propia con JWT emitido por un Worker.
Sesión persistente: recuperar al usuario al abrir la aplicación.
Guardas de navegación: qué rutas exigen sesión y a dónde se redirige cuando no la hay.
Asociar al usuario los datos que crea.
hash de la contraseña, emisión y verificación del JWT en el Worker.</t>
  </si>
  <si>
    <t>Cerrar la aplicación tras autenticación y asociar al usuario sus datos.</t>
  </si>
  <si>
    <t>Servicio de storage</t>
  </si>
  <si>
    <t>Subida de un archivo desde la aplicación a R2 y visualización del archivo guardado.
Reglas abiertas por ahora: se nombra el mecanismo que las cierra (las reglas del Worker) pero no se implementa.
Taller: agregar al reto una pantalla que suba y muestre un archivo.</t>
  </si>
  <si>
    <t>Preparar la entrega parcial 2: aplicación con datos, sesión y archivos funcionando.</t>
  </si>
  <si>
    <t>Asistentes de IA en consola: qué son y cómo se opera con ellos.
Modos de operación y niveles de autonomía.
Gestión del contexto: qué ve el agente y por qué eso determina la calidad de lo que produce.
Construcción del primer CLAUDE.md/AGENTS.md con /init: propósito, estructura, cómo ejecutar, convenciones y reglas para los agentes.
El archivo de contexto es un documento vivo: conciso, y se completa a lo largo del curso.
Introduccion a los 3 servicios basicos: data, storage y auth</t>
  </si>
  <si>
    <t>Funciones como servicio</t>
  </si>
  <si>
    <t>Entrega parcial 2 (aprox. 25 min): aplicación conectada, con sesión y archivos, 3 minutos por equipo.
Funciones como servicio (Workers): qué son y qué problema resuelven.
Se implementa una tarea encolada con Queues para una operación pesada del reto, y se discute cuándo NO vale la pena porque el API en Workers ya la resuelve.</t>
  </si>
  <si>
    <t>Preparar la sustentación final: demostración, repositorio, CLAUDE.md, skills y specs, con la evidencia de cómo se dirigió y se auditó al agente.</t>
  </si>
  <si>
    <t>Entrega final I (equipos 1 a 3)</t>
  </si>
  <si>
    <t>Entrega final, primera parte: equipos 1 a 3.
Cada equipo demuestra su aplicación multiplataforma y sustenta el proceso asistido por IA: repositorio, CLAUDE.md, skills, specs y evidencia de cómo dirigió y auditó al agente.
Aproximadamente 30 minutos por equipo, incluida la retroalimentación.</t>
  </si>
  <si>
    <t>SO-2, SO-3, SO-7</t>
  </si>
  <si>
    <t>Preparación de la sustentación de los equipos 4 a 6.</t>
  </si>
  <si>
    <t>Entrega final II (equipos 4 a 6) y cierre</t>
  </si>
  <si>
    <t>Entrega final, segunda parte: equipos 4 a 6, con el mismo formato.
Cierre del bloque: retroalimentación general y reflexión sobre el uso de IAG a lo largo de las unidades 3 y 4, contrastando el nivel de autonomía inicial con el alcanzado.</t>
  </si>
  <si>
    <t>Sección del Jefe de Departamento</t>
  </si>
  <si>
    <t>Total horas trabajo directo</t>
  </si>
  <si>
    <t>Total horas estudio independiente</t>
  </si>
  <si>
    <t>Total horas de dedicación</t>
  </si>
  <si>
    <t>Total créditos reales</t>
  </si>
  <si>
    <t>Verificación</t>
  </si>
  <si>
    <t>Stateless frente a Stateful: por qué el estado vive en el objeto State y no en el widget.
El árbol de widgets y su reconstrucción: qué hace setState y qué subárbol se vuelve a construir (con un print en build para ver cuándo se reconstruye).
Ciclo de vida: initState y dispose, con el TextEditingController como caso típico.
Contador hola mundo sobre estados.
Taller de dos sesiones, parte 1: agenda de contactos no persistente, resuelta como una sola pantalla con todo el estado adentro. Se continúa en la sesión 23.
Primera interaccion de usuario: funciones</t>
  </si>
  <si>
    <t>Nota</t>
  </si>
  <si>
    <t>Cloudflare no tiene un equivalente de PostgREST ni un servicio de autenticación de usuario final como el de Supabase. Eso obliga a que los estudiantes escriban a mano la capa de API en Workers y resuelvan la autenticación por su cuenta (JWT). Con solo cuatro sesiones de servicios y con estudiantes que llegan sin experiencia de backend, esta versión gana en profundidad de serverless pero sacrifica alcance del frontend y aumenta el riesgo de que los equipos no completen el contrato mínimo de la aplicación. Se recomienda como exploración opcional (Nivel 5 - Exploración) para el equipo que quiera, no como ruta base.</t>
  </si>
  <si>
    <t>Entrega parcial 1 (aprox. 25 min): (Maqueta) prototipo de interfaz con pantallas, estado y navegación, 3 minutos por equipo.
Navegación horizontal con BottomNavigationBar: una Screen anfitriona que cambia de Page según un índice guardado en el estado.
Cambiar de tab es setState y abrir un detalle es push: cuándo usar cada uno.</t>
  </si>
  <si>
    <t>El modelo de datos mínimo en diagrama</t>
  </si>
  <si>
    <t>Asistente de IA en consola, skills, servidor MCP de Supabase</t>
  </si>
  <si>
    <t>Conexión de la aplicación con Supabase usando el SDK de Supabase para Flutter: llaves y variables de entorno.
La capa de servicio como frontera entre la interfaz y la base de datos Postgres.
CRUD por PostgREST: listar, ver el detalle, crear, editar y borrar.
Estados de la interfaz frente a una operación asíncrona: cargando y error.</t>
  </si>
  <si>
    <t>Data ingest con datos inventados</t>
  </si>
  <si>
    <t>Base datos parte 2</t>
  </si>
  <si>
    <t>Registro, inicio y cierre de sesión con Supabase Auth.
Sesión persistente: recuperar al usuario al abrir la aplicación.
Guardas de navegación: qué rutas exigen sesión y a dónde se redirige cuando no la hay.
Asociar al usuario los datos que crea.
Hacer registro en base de datos con UUID de Auth</t>
  </si>
  <si>
    <t>Usuarios pueden registrar y loggearse</t>
  </si>
  <si>
    <t>Subida de un archivo desde la aplicación a Supabase Storage y visualización del archivo guardado.
Taller: agregar al reto una pantalla que suba y muestre un archivo.</t>
  </si>
  <si>
    <t>Entregas</t>
  </si>
  <si>
    <t>Prototipo en stich/figma, Base de datos</t>
  </si>
  <si>
    <t>Prototipo no funcional en flutter (componentes, pantallas y navegacion)</t>
  </si>
  <si>
    <t>Specs completas de la aplicacion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</si>
</sst>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Arial"/>
    </font>
    <font>
      <sz val="11.0"/>
      <color theme="1"/>
      <name val="Arial"/>
    </font>
    <font/>
    <font>
      <sz val="11.0"/>
      <color rgb="FF000000"/>
      <name val="Arial"/>
    </font>
    <font>
      <sz val="11.0"/>
      <color rgb="FFFFFFFF"/>
      <name val="Arial"/>
    </font>
    <font>
      <b/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top" wrapText="1"/>
    </xf>
    <xf borderId="1" fillId="0" fontId="3" numFmtId="49" xfId="0" applyAlignment="1" applyBorder="1" applyFont="1" applyNumberFormat="1">
      <alignment horizontal="left" shrinkToFit="0" vertical="top" wrapText="1"/>
    </xf>
    <xf borderId="6" fillId="2" fontId="6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7" fillId="2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left" shrinkToFit="0" vertical="top" wrapText="1"/>
    </xf>
    <xf borderId="1" fillId="0" fontId="3" numFmtId="49" xfId="0" applyAlignment="1" applyBorder="1" applyFont="1" applyNumberFormat="1">
      <alignment horizontal="left" readingOrder="0" shrinkToFit="0" vertical="top" wrapText="1"/>
    </xf>
    <xf borderId="1" fillId="0" fontId="5" numFmtId="49" xfId="0" applyAlignment="1" applyBorder="1" applyFont="1" applyNumberFormat="1">
      <alignment horizontal="left" shrinkToFit="0" vertical="top" wrapText="1"/>
    </xf>
    <xf borderId="8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left"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10" fillId="0" fontId="3" numFmtId="49" xfId="0" applyAlignment="1" applyBorder="1" applyFont="1" applyNumberFormat="1">
      <alignment horizontal="left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5" numFmtId="49" xfId="0" applyAlignment="1" applyBorder="1" applyFont="1" applyNumberFormat="1">
      <alignment horizontal="lef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left"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10" fillId="0" fontId="3" numFmtId="49" xfId="0" applyAlignment="1" applyBorder="1" applyFont="1" applyNumberFormat="1">
      <alignment horizontal="left" shrinkToFit="0" vertical="top" wrapText="1"/>
    </xf>
    <xf borderId="13" fillId="3" fontId="7" numFmtId="0" xfId="0" applyAlignment="1" applyBorder="1" applyFont="1">
      <alignment horizontal="center"/>
    </xf>
    <xf borderId="14" fillId="0" fontId="4" numFmtId="0" xfId="0" applyBorder="1" applyFont="1"/>
    <xf borderId="15" fillId="3" fontId="1" numFmtId="0" xfId="0" applyBorder="1" applyFont="1"/>
    <xf borderId="15" fillId="3" fontId="1" numFmtId="0" xfId="0" applyAlignment="1" applyBorder="1" applyFont="1">
      <alignment shrinkToFit="0" wrapText="1"/>
    </xf>
    <xf borderId="15" fillId="3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right" shrinkToFit="0" wrapText="1"/>
    </xf>
    <xf borderId="1" fillId="0" fontId="1" numFmtId="0" xfId="0" applyAlignment="1" applyBorder="1" applyFont="1">
      <alignment horizontal="center"/>
    </xf>
    <xf borderId="11" fillId="0" fontId="3" numFmtId="0" xfId="0" applyAlignment="1" applyBorder="1" applyFont="1">
      <alignment horizontal="center" shrinkToFit="0" vertical="top" wrapText="1"/>
    </xf>
    <xf borderId="1" fillId="0" fontId="1" numFmtId="1" xfId="0" applyAlignment="1" applyBorder="1" applyFont="1" applyNumberFormat="1">
      <alignment horizontal="center"/>
    </xf>
    <xf borderId="0" fillId="0" fontId="1" numFmtId="0" xfId="0" applyAlignment="1" applyFont="1">
      <alignment horizontal="right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0" fillId="0" fontId="3" numFmtId="49" xfId="0" applyAlignment="1" applyBorder="1" applyFont="1" applyNumberFormat="1">
      <alignment horizontal="left" readingOrder="0" shrinkToFit="0" vertical="top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tableStyles count="1">
    <tableStyle count="4" pivot="0" name="Planeador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K36" displayName="Table1_2" name="Table1_2" id="1">
  <tableColumns count="11">
    <tableColumn name="Unidad" id="1"/>
    <tableColumn name="Sesión" id="2"/>
    <tableColumn name="Tema" id="3"/>
    <tableColumn name="Actividades" id="4"/>
    <tableColumn name="Tipo de la actividad (seleccione un tipo)" id="5"/>
    <tableColumn name="Horas dedicadas" id="6"/>
    <tableColumn name="Resultados de aprendizaje del curso implicados_x000a_(objetivos terminales) " id="7"/>
    <tableColumn name="Resultados de aprendizaje del programa implicados_x000a_(performance indicators)" id="8"/>
    <tableColumn name="Naturaleza de la actividad (seleccione un tipo)" id="9"/>
    <tableColumn name="Nivel de IAG según el AIAS (seleccione un nivel)" id="10"/>
    <tableColumn name="Tecnologías o herramientas de IAG empleada" id="11"/>
  </tableColumns>
  <tableStyleInfo name="Planeador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20.0"/>
    <col customWidth="1" min="2" max="2" width="14.43"/>
    <col customWidth="1" min="3" max="3" width="35.29"/>
    <col customWidth="1" min="4" max="4" width="46.71"/>
    <col customWidth="1" min="5" max="5" width="24.43"/>
    <col customWidth="1" min="6" max="6" width="12.43"/>
    <col customWidth="1" min="7" max="7" width="27.86"/>
    <col customWidth="1" min="8" max="8" width="35.43"/>
    <col customWidth="1" min="9" max="9" width="21.14"/>
    <col customWidth="1" min="10" max="10" width="21.29"/>
    <col customWidth="1" min="11" max="11" width="20.0"/>
    <col customWidth="1" min="12" max="26" width="9.14"/>
  </cols>
  <sheetData>
    <row r="1">
      <c r="A1" s="2" t="s">
        <v>0</v>
      </c>
      <c r="B1" s="5" t="s">
        <v>2</v>
      </c>
      <c r="C1" s="6"/>
      <c r="D1" s="6"/>
      <c r="E1" s="7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15</v>
      </c>
      <c r="B2" s="5" t="s">
        <v>16</v>
      </c>
      <c r="C2" s="6"/>
      <c r="D2" s="6"/>
      <c r="E2" s="7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19</v>
      </c>
      <c r="B3" s="5">
        <v>3.0</v>
      </c>
      <c r="C3" s="6"/>
      <c r="D3" s="6"/>
      <c r="E3" s="7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 t="s">
        <v>24</v>
      </c>
      <c r="B5" s="19" t="s">
        <v>25</v>
      </c>
      <c r="C5" s="19" t="s">
        <v>27</v>
      </c>
      <c r="D5" s="19" t="s">
        <v>28</v>
      </c>
      <c r="E5" s="19" t="s">
        <v>29</v>
      </c>
      <c r="F5" s="19" t="s">
        <v>30</v>
      </c>
      <c r="G5" s="19" t="s">
        <v>31</v>
      </c>
      <c r="H5" s="24" t="s">
        <v>32</v>
      </c>
      <c r="I5" s="24" t="s">
        <v>34</v>
      </c>
      <c r="J5" s="24" t="s">
        <v>36</v>
      </c>
      <c r="K5" s="27" t="s">
        <v>37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8" t="s">
        <v>40</v>
      </c>
      <c r="B6" s="29">
        <v>17.0</v>
      </c>
      <c r="C6" s="30" t="s">
        <v>44</v>
      </c>
      <c r="D6" s="31" t="s">
        <v>63</v>
      </c>
      <c r="E6" s="29" t="s">
        <v>20</v>
      </c>
      <c r="F6" s="29">
        <v>2.0</v>
      </c>
      <c r="G6" s="28" t="s">
        <v>47</v>
      </c>
      <c r="H6" s="33" t="s">
        <v>48</v>
      </c>
      <c r="I6" s="29" t="s">
        <v>33</v>
      </c>
      <c r="J6" s="29" t="s">
        <v>50</v>
      </c>
      <c r="K6" s="34" t="s">
        <v>51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8"/>
      <c r="B7" s="29">
        <v>17.0</v>
      </c>
      <c r="C7" s="30"/>
      <c r="D7" s="37" t="s">
        <v>54</v>
      </c>
      <c r="E7" s="29" t="s">
        <v>22</v>
      </c>
      <c r="F7" s="29">
        <v>2.0</v>
      </c>
      <c r="G7" s="28" t="s">
        <v>47</v>
      </c>
      <c r="H7" s="33" t="s">
        <v>48</v>
      </c>
      <c r="I7" s="29" t="s">
        <v>33</v>
      </c>
      <c r="J7" s="29" t="s">
        <v>50</v>
      </c>
      <c r="K7" s="34" t="s">
        <v>51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8" t="s">
        <v>40</v>
      </c>
      <c r="B8" s="29">
        <v>18.0</v>
      </c>
      <c r="C8" s="30" t="s">
        <v>57</v>
      </c>
      <c r="D8" s="37" t="s">
        <v>59</v>
      </c>
      <c r="E8" s="29" t="s">
        <v>20</v>
      </c>
      <c r="F8" s="29">
        <v>2.0</v>
      </c>
      <c r="G8" s="28" t="s">
        <v>47</v>
      </c>
      <c r="H8" s="33" t="s">
        <v>60</v>
      </c>
      <c r="I8" s="29" t="s">
        <v>33</v>
      </c>
      <c r="J8" s="29" t="s">
        <v>50</v>
      </c>
      <c r="K8" s="34" t="s">
        <v>51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8"/>
      <c r="B9" s="29">
        <v>18.0</v>
      </c>
      <c r="C9" s="30"/>
      <c r="D9" s="42" t="s">
        <v>64</v>
      </c>
      <c r="E9" s="29" t="s">
        <v>22</v>
      </c>
      <c r="F9" s="29">
        <v>2.0</v>
      </c>
      <c r="G9" s="28" t="s">
        <v>47</v>
      </c>
      <c r="H9" s="33" t="s">
        <v>60</v>
      </c>
      <c r="I9" s="29" t="s">
        <v>33</v>
      </c>
      <c r="J9" s="29" t="s">
        <v>50</v>
      </c>
      <c r="K9" s="34" t="s">
        <v>51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8" t="s">
        <v>40</v>
      </c>
      <c r="B10" s="29">
        <v>19.0</v>
      </c>
      <c r="C10" s="30" t="s">
        <v>67</v>
      </c>
      <c r="D10" s="42" t="s">
        <v>68</v>
      </c>
      <c r="E10" s="29" t="s">
        <v>20</v>
      </c>
      <c r="F10" s="29">
        <v>2.0</v>
      </c>
      <c r="G10" s="28" t="s">
        <v>47</v>
      </c>
      <c r="H10" s="33" t="s">
        <v>69</v>
      </c>
      <c r="I10" s="29" t="s">
        <v>33</v>
      </c>
      <c r="J10" s="29" t="s">
        <v>50</v>
      </c>
      <c r="K10" s="34" t="s">
        <v>51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3"/>
      <c r="B11" s="29">
        <v>19.0</v>
      </c>
      <c r="C11" s="30"/>
      <c r="D11" s="37" t="s">
        <v>70</v>
      </c>
      <c r="E11" s="29" t="s">
        <v>22</v>
      </c>
      <c r="F11" s="29">
        <v>2.0</v>
      </c>
      <c r="G11" s="28" t="s">
        <v>71</v>
      </c>
      <c r="H11" s="28" t="s">
        <v>48</v>
      </c>
      <c r="I11" s="29" t="s">
        <v>33</v>
      </c>
      <c r="J11" s="29" t="s">
        <v>50</v>
      </c>
      <c r="K11" s="34" t="s">
        <v>51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8" t="s">
        <v>72</v>
      </c>
      <c r="B12" s="29">
        <v>20.0</v>
      </c>
      <c r="C12" s="30" t="s">
        <v>73</v>
      </c>
      <c r="D12" s="31" t="s">
        <v>113</v>
      </c>
      <c r="E12" s="29" t="s">
        <v>20</v>
      </c>
      <c r="F12" s="29">
        <v>2.0</v>
      </c>
      <c r="G12" s="28" t="s">
        <v>71</v>
      </c>
      <c r="H12" s="33" t="s">
        <v>48</v>
      </c>
      <c r="I12" s="29" t="s">
        <v>38</v>
      </c>
      <c r="J12" s="29" t="s">
        <v>61</v>
      </c>
      <c r="K12" s="34" t="s">
        <v>75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6"/>
      <c r="B13" s="47">
        <v>20.0</v>
      </c>
      <c r="C13" s="48"/>
      <c r="D13" s="50" t="s">
        <v>76</v>
      </c>
      <c r="E13" s="29" t="s">
        <v>22</v>
      </c>
      <c r="F13" s="47">
        <v>2.0</v>
      </c>
      <c r="G13" s="28" t="s">
        <v>71</v>
      </c>
      <c r="H13" s="28" t="s">
        <v>48</v>
      </c>
      <c r="I13" s="29" t="s">
        <v>38</v>
      </c>
      <c r="J13" s="29" t="s">
        <v>61</v>
      </c>
      <c r="K13" s="34" t="s">
        <v>75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8" t="s">
        <v>72</v>
      </c>
      <c r="B14" s="29">
        <v>21.0</v>
      </c>
      <c r="C14" s="30" t="s">
        <v>77</v>
      </c>
      <c r="D14" s="37" t="s">
        <v>78</v>
      </c>
      <c r="E14" s="29" t="s">
        <v>20</v>
      </c>
      <c r="F14" s="29">
        <v>2.0</v>
      </c>
      <c r="G14" s="33" t="s">
        <v>79</v>
      </c>
      <c r="H14" s="33" t="s">
        <v>80</v>
      </c>
      <c r="I14" s="29" t="s">
        <v>38</v>
      </c>
      <c r="J14" s="29" t="s">
        <v>61</v>
      </c>
      <c r="K14" s="34" t="s">
        <v>81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8"/>
      <c r="B15" s="29">
        <v>21.0</v>
      </c>
      <c r="C15" s="30"/>
      <c r="D15" s="37" t="s">
        <v>82</v>
      </c>
      <c r="E15" s="29" t="s">
        <v>22</v>
      </c>
      <c r="F15" s="29">
        <v>4.0</v>
      </c>
      <c r="G15" s="58" t="s">
        <v>47</v>
      </c>
      <c r="H15" s="28" t="s">
        <v>83</v>
      </c>
      <c r="I15" s="29" t="s">
        <v>38</v>
      </c>
      <c r="J15" s="29" t="s">
        <v>65</v>
      </c>
      <c r="K15" s="34" t="s">
        <v>84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8" t="s">
        <v>40</v>
      </c>
      <c r="B16" s="29">
        <v>22.0</v>
      </c>
      <c r="C16" s="30" t="s">
        <v>85</v>
      </c>
      <c r="D16" s="31" t="s">
        <v>129</v>
      </c>
      <c r="E16" s="29" t="s">
        <v>20</v>
      </c>
      <c r="F16" s="29">
        <v>2.0</v>
      </c>
      <c r="G16" s="33" t="s">
        <v>47</v>
      </c>
      <c r="H16" s="28" t="s">
        <v>60</v>
      </c>
      <c r="I16" s="29" t="s">
        <v>33</v>
      </c>
      <c r="J16" s="29" t="s">
        <v>56</v>
      </c>
      <c r="K16" s="34" t="s">
        <v>75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8"/>
      <c r="B17" s="29">
        <v>22.0</v>
      </c>
      <c r="C17" s="30"/>
      <c r="D17" s="37" t="s">
        <v>87</v>
      </c>
      <c r="E17" s="29" t="s">
        <v>22</v>
      </c>
      <c r="F17" s="29">
        <v>2.0</v>
      </c>
      <c r="G17" s="33" t="s">
        <v>47</v>
      </c>
      <c r="H17" s="28" t="s">
        <v>60</v>
      </c>
      <c r="I17" s="29" t="s">
        <v>33</v>
      </c>
      <c r="J17" s="29" t="s">
        <v>56</v>
      </c>
      <c r="K17" s="34" t="s">
        <v>75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8" t="s">
        <v>40</v>
      </c>
      <c r="B18" s="29">
        <v>23.0</v>
      </c>
      <c r="C18" s="30" t="s">
        <v>88</v>
      </c>
      <c r="D18" s="37" t="s">
        <v>89</v>
      </c>
      <c r="E18" s="29" t="s">
        <v>20</v>
      </c>
      <c r="F18" s="29">
        <v>2.0</v>
      </c>
      <c r="G18" s="33" t="s">
        <v>47</v>
      </c>
      <c r="H18" s="28" t="s">
        <v>69</v>
      </c>
      <c r="I18" s="29" t="s">
        <v>33</v>
      </c>
      <c r="J18" s="29" t="s">
        <v>56</v>
      </c>
      <c r="K18" s="34" t="s">
        <v>75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3"/>
      <c r="B19" s="29">
        <v>23.0</v>
      </c>
      <c r="C19" s="63"/>
      <c r="D19" s="63" t="s">
        <v>90</v>
      </c>
      <c r="E19" s="29" t="s">
        <v>22</v>
      </c>
      <c r="F19" s="29">
        <v>2.0</v>
      </c>
      <c r="G19" s="28" t="s">
        <v>47</v>
      </c>
      <c r="H19" s="28" t="s">
        <v>60</v>
      </c>
      <c r="I19" s="29" t="s">
        <v>33</v>
      </c>
      <c r="J19" s="29" t="s">
        <v>56</v>
      </c>
      <c r="K19" s="34" t="s">
        <v>75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8" t="s">
        <v>40</v>
      </c>
      <c r="B20" s="29">
        <v>24.0</v>
      </c>
      <c r="C20" s="30" t="s">
        <v>91</v>
      </c>
      <c r="D20" s="37" t="s">
        <v>92</v>
      </c>
      <c r="E20" s="29" t="s">
        <v>20</v>
      </c>
      <c r="F20" s="29">
        <v>2.0</v>
      </c>
      <c r="G20" s="33" t="s">
        <v>47</v>
      </c>
      <c r="H20" s="28" t="s">
        <v>60</v>
      </c>
      <c r="I20" s="29" t="s">
        <v>33</v>
      </c>
      <c r="J20" s="29" t="s">
        <v>56</v>
      </c>
      <c r="K20" s="34" t="s">
        <v>75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28"/>
      <c r="B21" s="29">
        <v>24.0</v>
      </c>
      <c r="C21" s="30"/>
      <c r="D21" s="37" t="s">
        <v>93</v>
      </c>
      <c r="E21" s="29" t="s">
        <v>22</v>
      </c>
      <c r="F21" s="29">
        <v>4.0</v>
      </c>
      <c r="G21" s="33" t="s">
        <v>47</v>
      </c>
      <c r="H21" s="28" t="s">
        <v>94</v>
      </c>
      <c r="I21" s="29" t="s">
        <v>38</v>
      </c>
      <c r="J21" s="29" t="s">
        <v>61</v>
      </c>
      <c r="K21" s="34" t="s">
        <v>81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8" t="s">
        <v>40</v>
      </c>
      <c r="B22" s="29">
        <v>25.0</v>
      </c>
      <c r="C22" s="30" t="s">
        <v>95</v>
      </c>
      <c r="D22" s="31" t="s">
        <v>132</v>
      </c>
      <c r="E22" s="29" t="s">
        <v>20</v>
      </c>
      <c r="F22" s="29">
        <v>2.0</v>
      </c>
      <c r="G22" s="33" t="s">
        <v>47</v>
      </c>
      <c r="H22" s="28" t="s">
        <v>83</v>
      </c>
      <c r="I22" s="29" t="s">
        <v>43</v>
      </c>
      <c r="J22" s="29" t="s">
        <v>65</v>
      </c>
      <c r="K22" s="34" t="s">
        <v>81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28"/>
      <c r="B23" s="29">
        <v>25.0</v>
      </c>
      <c r="C23" s="30"/>
      <c r="D23" s="37" t="s">
        <v>97</v>
      </c>
      <c r="E23" s="29" t="s">
        <v>22</v>
      </c>
      <c r="F23" s="29">
        <v>2.0</v>
      </c>
      <c r="G23" s="33" t="s">
        <v>47</v>
      </c>
      <c r="H23" s="28" t="s">
        <v>60</v>
      </c>
      <c r="I23" s="29" t="s">
        <v>33</v>
      </c>
      <c r="J23" s="29" t="s">
        <v>56</v>
      </c>
      <c r="K23" s="34" t="s">
        <v>75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8" t="s">
        <v>72</v>
      </c>
      <c r="B24" s="29">
        <v>26.0</v>
      </c>
      <c r="C24" s="63" t="s">
        <v>98</v>
      </c>
      <c r="D24" s="31" t="s">
        <v>99</v>
      </c>
      <c r="E24" s="29" t="s">
        <v>20</v>
      </c>
      <c r="F24" s="29">
        <v>2.0</v>
      </c>
      <c r="G24" s="33" t="s">
        <v>79</v>
      </c>
      <c r="H24" s="28" t="s">
        <v>80</v>
      </c>
      <c r="I24" s="29" t="s">
        <v>38</v>
      </c>
      <c r="J24" s="29" t="s">
        <v>65</v>
      </c>
      <c r="K24" s="34" t="s">
        <v>100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8"/>
      <c r="B25" s="29">
        <v>26.0</v>
      </c>
      <c r="C25" s="63"/>
      <c r="D25" s="31" t="s">
        <v>133</v>
      </c>
      <c r="E25" s="29" t="s">
        <v>22</v>
      </c>
      <c r="F25" s="29">
        <v>4.0</v>
      </c>
      <c r="G25" s="33" t="s">
        <v>79</v>
      </c>
      <c r="H25" s="28" t="s">
        <v>69</v>
      </c>
      <c r="I25" s="29" t="s">
        <v>38</v>
      </c>
      <c r="J25" s="29" t="s">
        <v>65</v>
      </c>
      <c r="K25" s="34" t="s">
        <v>134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64" t="s">
        <v>103</v>
      </c>
      <c r="B26" s="65">
        <v>27.0</v>
      </c>
      <c r="C26" s="66" t="s">
        <v>104</v>
      </c>
      <c r="D26" s="31" t="s">
        <v>135</v>
      </c>
      <c r="E26" s="29" t="s">
        <v>20</v>
      </c>
      <c r="F26" s="65">
        <v>2.0</v>
      </c>
      <c r="G26" s="28" t="s">
        <v>47</v>
      </c>
      <c r="H26" s="28" t="s">
        <v>69</v>
      </c>
      <c r="I26" s="29" t="s">
        <v>33</v>
      </c>
      <c r="J26" s="29" t="s">
        <v>61</v>
      </c>
      <c r="K26" s="34" t="s">
        <v>134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28"/>
      <c r="B27" s="29">
        <v>27.0</v>
      </c>
      <c r="C27" s="63"/>
      <c r="D27" s="31" t="s">
        <v>136</v>
      </c>
      <c r="E27" s="29" t="s">
        <v>22</v>
      </c>
      <c r="F27" s="29">
        <v>2.0</v>
      </c>
      <c r="G27" s="28" t="s">
        <v>47</v>
      </c>
      <c r="H27" s="28" t="s">
        <v>60</v>
      </c>
      <c r="I27" s="29" t="s">
        <v>33</v>
      </c>
      <c r="J27" s="29" t="s">
        <v>61</v>
      </c>
      <c r="K27" s="34" t="s">
        <v>134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 t="s">
        <v>103</v>
      </c>
      <c r="B28" s="29">
        <v>28.0</v>
      </c>
      <c r="C28" s="63" t="s">
        <v>107</v>
      </c>
      <c r="D28" s="67" t="s">
        <v>137</v>
      </c>
      <c r="E28" s="29" t="s">
        <v>20</v>
      </c>
      <c r="F28" s="29">
        <v>2.0</v>
      </c>
      <c r="G28" s="28" t="s">
        <v>47</v>
      </c>
      <c r="H28" s="28" t="s">
        <v>69</v>
      </c>
      <c r="I28" s="29" t="s">
        <v>33</v>
      </c>
      <c r="J28" s="29" t="s">
        <v>61</v>
      </c>
      <c r="K28" s="34" t="s">
        <v>134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33"/>
      <c r="B29" s="29">
        <v>28.0</v>
      </c>
      <c r="C29" s="63"/>
      <c r="D29" s="68"/>
      <c r="E29" s="29" t="s">
        <v>22</v>
      </c>
      <c r="F29" s="29">
        <v>2.0</v>
      </c>
      <c r="G29" s="28" t="s">
        <v>47</v>
      </c>
      <c r="H29" s="28" t="s">
        <v>60</v>
      </c>
      <c r="I29" s="29" t="s">
        <v>33</v>
      </c>
      <c r="J29" s="29" t="s">
        <v>61</v>
      </c>
      <c r="K29" s="34" t="s">
        <v>134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8" t="s">
        <v>103</v>
      </c>
      <c r="B30" s="29">
        <v>29.0</v>
      </c>
      <c r="C30" s="63" t="s">
        <v>110</v>
      </c>
      <c r="D30" s="67" t="s">
        <v>138</v>
      </c>
      <c r="E30" s="29" t="s">
        <v>20</v>
      </c>
      <c r="F30" s="29">
        <v>2.0</v>
      </c>
      <c r="G30" s="28" t="s">
        <v>47</v>
      </c>
      <c r="H30" s="28" t="s">
        <v>60</v>
      </c>
      <c r="I30" s="29" t="s">
        <v>33</v>
      </c>
      <c r="J30" s="29" t="s">
        <v>61</v>
      </c>
      <c r="K30" s="34" t="s">
        <v>134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8"/>
      <c r="B31" s="29">
        <v>29.0</v>
      </c>
      <c r="C31" s="63"/>
      <c r="D31" s="68" t="s">
        <v>139</v>
      </c>
      <c r="E31" s="29" t="s">
        <v>22</v>
      </c>
      <c r="F31" s="29">
        <v>4.0</v>
      </c>
      <c r="G31" s="28" t="s">
        <v>47</v>
      </c>
      <c r="H31" s="28" t="s">
        <v>83</v>
      </c>
      <c r="I31" s="29" t="s">
        <v>38</v>
      </c>
      <c r="J31" s="29" t="s">
        <v>65</v>
      </c>
      <c r="K31" s="34" t="s">
        <v>134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8" t="s">
        <v>103</v>
      </c>
      <c r="B32" s="29">
        <v>30.0</v>
      </c>
      <c r="C32" s="63" t="s">
        <v>114</v>
      </c>
      <c r="D32" s="31" t="s">
        <v>140</v>
      </c>
      <c r="E32" s="29" t="s">
        <v>20</v>
      </c>
      <c r="F32" s="29">
        <v>2.0</v>
      </c>
      <c r="G32" s="28" t="s">
        <v>79</v>
      </c>
      <c r="H32" s="28" t="s">
        <v>83</v>
      </c>
      <c r="I32" s="29" t="s">
        <v>43</v>
      </c>
      <c r="J32" s="29" t="s">
        <v>65</v>
      </c>
      <c r="K32" s="34" t="s">
        <v>134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28"/>
      <c r="B33" s="29">
        <v>30.0</v>
      </c>
      <c r="C33" s="63"/>
      <c r="D33" s="37" t="s">
        <v>116</v>
      </c>
      <c r="E33" s="29" t="s">
        <v>22</v>
      </c>
      <c r="F33" s="29">
        <v>4.0</v>
      </c>
      <c r="G33" s="28" t="s">
        <v>79</v>
      </c>
      <c r="H33" s="28" t="s">
        <v>83</v>
      </c>
      <c r="I33" s="29" t="s">
        <v>43</v>
      </c>
      <c r="J33" s="29" t="s">
        <v>65</v>
      </c>
      <c r="K33" s="34" t="s">
        <v>134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8" t="s">
        <v>103</v>
      </c>
      <c r="B34" s="29">
        <v>31.0</v>
      </c>
      <c r="C34" s="63" t="s">
        <v>117</v>
      </c>
      <c r="D34" s="37" t="s">
        <v>118</v>
      </c>
      <c r="E34" s="29" t="s">
        <v>20</v>
      </c>
      <c r="F34" s="29">
        <v>2.0</v>
      </c>
      <c r="G34" s="28" t="s">
        <v>79</v>
      </c>
      <c r="H34" s="28" t="s">
        <v>119</v>
      </c>
      <c r="I34" s="29" t="s">
        <v>43</v>
      </c>
      <c r="J34" s="29" t="s">
        <v>65</v>
      </c>
      <c r="K34" s="34" t="s">
        <v>100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33"/>
      <c r="B35" s="29">
        <v>31.0</v>
      </c>
      <c r="C35" s="63"/>
      <c r="D35" s="66" t="s">
        <v>120</v>
      </c>
      <c r="E35" s="29" t="s">
        <v>22</v>
      </c>
      <c r="F35" s="29">
        <v>2.0</v>
      </c>
      <c r="G35" s="28" t="s">
        <v>79</v>
      </c>
      <c r="H35" s="28" t="s">
        <v>83</v>
      </c>
      <c r="I35" s="29" t="s">
        <v>43</v>
      </c>
      <c r="J35" s="29" t="s">
        <v>65</v>
      </c>
      <c r="K35" s="34" t="s">
        <v>100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46" t="s">
        <v>103</v>
      </c>
      <c r="B36" s="47">
        <v>32.0</v>
      </c>
      <c r="C36" s="63" t="s">
        <v>121</v>
      </c>
      <c r="D36" s="37" t="s">
        <v>122</v>
      </c>
      <c r="E36" s="29" t="s">
        <v>20</v>
      </c>
      <c r="F36" s="29">
        <v>2.0</v>
      </c>
      <c r="G36" s="28" t="s">
        <v>79</v>
      </c>
      <c r="H36" s="28" t="s">
        <v>119</v>
      </c>
      <c r="I36" s="29" t="s">
        <v>43</v>
      </c>
      <c r="J36" s="29" t="s">
        <v>65</v>
      </c>
      <c r="K36" s="34" t="s">
        <v>100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"/>
      <c r="B37" s="1"/>
      <c r="C37" s="1"/>
      <c r="D37" s="49"/>
      <c r="E37" s="1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1" t="s">
        <v>123</v>
      </c>
      <c r="B38" s="52"/>
      <c r="C38" s="53"/>
      <c r="D38" s="54"/>
      <c r="E38" s="53"/>
      <c r="F38" s="55"/>
      <c r="G38" s="53"/>
      <c r="H38" s="53"/>
      <c r="I38" s="53"/>
      <c r="J38" s="53"/>
      <c r="K38" s="5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49"/>
      <c r="E39" s="1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56" t="s">
        <v>124</v>
      </c>
      <c r="E40" s="57">
        <f>SUMIF($E6:$E36,Glosario!$B$11,PlaneadorF!$F6:$F36)</f>
        <v>32</v>
      </c>
      <c r="G40" s="9"/>
      <c r="H40" s="69" t="s">
        <v>141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56" t="s">
        <v>125</v>
      </c>
      <c r="E41" s="57">
        <f>SUMIF($E6:$E36,Glosario!$B$12,PlaneadorF!$F6:$F36)</f>
        <v>40</v>
      </c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56" t="s">
        <v>126</v>
      </c>
      <c r="E42" s="57">
        <f>SUM($E40:$E41)</f>
        <v>72</v>
      </c>
      <c r="G42" s="70">
        <v>1.0</v>
      </c>
      <c r="H42" s="69" t="s">
        <v>142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56" t="s">
        <v>127</v>
      </c>
      <c r="E43" s="59">
        <f>$E$42/48</f>
        <v>1.5</v>
      </c>
      <c r="G43" s="70">
        <v>2.0</v>
      </c>
      <c r="H43" s="69" t="s">
        <v>143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60" t="s">
        <v>128</v>
      </c>
      <c r="E44" s="61" t="str">
        <f>IF(EXACT(ROUNDUP($E$43,0),$B$3),"Ajustado a créditos",IF(ROUNDUP($E$43,0)&gt;$B$3,"Excedido en créditos","Créditos subutilizados"))</f>
        <v>Créditos subutilizados</v>
      </c>
      <c r="F44" s="9"/>
      <c r="G44" s="70">
        <v>3.0</v>
      </c>
      <c r="H44" s="69" t="s">
        <v>144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49"/>
      <c r="E45" s="1"/>
      <c r="F45" s="9"/>
      <c r="G45" s="71">
        <v>4.0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49"/>
      <c r="E46" s="1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49"/>
      <c r="E47" s="1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ustomSheetViews>
    <customSheetView guid="{72C78542-99FA-4596-8CFB-AF0C27BE5FDD}" filter="1" showAutoFilter="1">
      <autoFilter ref="$A$5:$K$36"/>
      <extLst>
        <ext uri="GoogleSheetsCustomDataVersion1">
          <go:sheetsCustomData xmlns:go="http://customooxmlschemas.google.com/" filterViewId="1827019718"/>
        </ext>
      </extLst>
    </customSheetView>
  </customSheetViews>
  <mergeCells count="4">
    <mergeCell ref="B1:D1"/>
    <mergeCell ref="B2:D2"/>
    <mergeCell ref="B3:D3"/>
    <mergeCell ref="A38:B38"/>
  </mergeCells>
  <conditionalFormatting sqref="E44">
    <cfRule type="containsText" dxfId="5" priority="1" operator="containsText" text="Créditos subutilizados">
      <formula>NOT(ISERROR(SEARCH(("Créditos subutilizados"),(E44))))</formula>
    </cfRule>
  </conditionalFormatting>
  <conditionalFormatting sqref="E44">
    <cfRule type="containsText" dxfId="6" priority="2" operator="containsText" text="Ajustado a créditos">
      <formula>NOT(ISERROR(SEARCH(("Ajustado a créditos"),(E44))))</formula>
    </cfRule>
  </conditionalFormatting>
  <conditionalFormatting sqref="E44">
    <cfRule type="containsText" dxfId="7" priority="3" operator="containsText" text="Excedido en créditos">
      <formula>NOT(ISERROR(SEARCH(("Excedido en créditos"),(E44))))</formula>
    </cfRule>
  </conditionalFormatting>
  <conditionalFormatting sqref="E44">
    <cfRule type="expression" dxfId="7" priority="4">
      <formula>IF(EXACT($E$44,"excedido en creditos"),TRUE,FALSE)</formula>
    </cfRule>
  </conditionalFormatting>
  <dataValidations>
    <dataValidation type="list" allowBlank="1" showErrorMessage="1" sqref="E6:E36">
      <formula1>Glosario!$B$11:$B$12</formula1>
    </dataValidation>
    <dataValidation type="list" allowBlank="1" showErrorMessage="1" sqref="B1">
      <formula1>Glosario!$C$3:$C$8</formula1>
    </dataValidation>
    <dataValidation type="list" allowBlank="1" showErrorMessage="1" sqref="I6:I36">
      <formula1>Glosario!$B$15:$B$18</formula1>
    </dataValidation>
    <dataValidation type="list" allowBlank="1" showErrorMessage="1" sqref="J6:J36">
      <formula1>Glosario!$B$21:$B$25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43"/>
    <col customWidth="1" min="3" max="3" width="35.29"/>
    <col customWidth="1" min="4" max="4" width="46.71"/>
    <col customWidth="1" min="5" max="5" width="24.43"/>
    <col customWidth="1" min="6" max="6" width="12.43"/>
    <col customWidth="1" min="7" max="7" width="27.86"/>
    <col customWidth="1" min="8" max="8" width="32.86"/>
    <col customWidth="1" min="9" max="9" width="21.14"/>
    <col customWidth="1" min="10" max="10" width="21.29"/>
    <col customWidth="1" min="11" max="11" width="20.0"/>
    <col customWidth="1" min="12" max="26" width="9.14"/>
  </cols>
  <sheetData>
    <row r="1">
      <c r="A1" s="2" t="s">
        <v>0</v>
      </c>
      <c r="B1" s="5" t="s">
        <v>2</v>
      </c>
      <c r="C1" s="6"/>
      <c r="D1" s="6"/>
      <c r="E1" s="7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15</v>
      </c>
      <c r="B2" s="5" t="s">
        <v>16</v>
      </c>
      <c r="C2" s="6"/>
      <c r="D2" s="6"/>
      <c r="E2" s="7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19</v>
      </c>
      <c r="B3" s="5">
        <v>3.0</v>
      </c>
      <c r="C3" s="6"/>
      <c r="D3" s="6"/>
      <c r="E3" s="7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3" t="s">
        <v>24</v>
      </c>
      <c r="B5" s="14" t="s">
        <v>25</v>
      </c>
      <c r="C5" s="14" t="s">
        <v>27</v>
      </c>
      <c r="D5" s="14" t="s">
        <v>28</v>
      </c>
      <c r="E5" s="14" t="s">
        <v>29</v>
      </c>
      <c r="F5" s="14" t="s">
        <v>30</v>
      </c>
      <c r="G5" s="14" t="s">
        <v>31</v>
      </c>
      <c r="H5" s="15" t="s">
        <v>32</v>
      </c>
      <c r="I5" s="15" t="s">
        <v>34</v>
      </c>
      <c r="J5" s="15" t="s">
        <v>36</v>
      </c>
      <c r="K5" s="16" t="s">
        <v>37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0" t="s">
        <v>40</v>
      </c>
      <c r="B6" s="21">
        <v>17.0</v>
      </c>
      <c r="C6" s="22" t="s">
        <v>44</v>
      </c>
      <c r="D6" s="23" t="s">
        <v>46</v>
      </c>
      <c r="E6" s="21" t="s">
        <v>20</v>
      </c>
      <c r="F6" s="21">
        <v>2.0</v>
      </c>
      <c r="G6" s="20" t="s">
        <v>47</v>
      </c>
      <c r="H6" s="25" t="s">
        <v>48</v>
      </c>
      <c r="I6" s="21" t="s">
        <v>33</v>
      </c>
      <c r="J6" s="21" t="s">
        <v>50</v>
      </c>
      <c r="K6" s="26" t="s">
        <v>51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0"/>
      <c r="B7" s="21">
        <v>17.0</v>
      </c>
      <c r="C7" s="22"/>
      <c r="D7" s="23" t="s">
        <v>54</v>
      </c>
      <c r="E7" s="21" t="s">
        <v>22</v>
      </c>
      <c r="F7" s="21">
        <v>2.0</v>
      </c>
      <c r="G7" s="20" t="s">
        <v>47</v>
      </c>
      <c r="H7" s="25" t="s">
        <v>48</v>
      </c>
      <c r="I7" s="21" t="s">
        <v>33</v>
      </c>
      <c r="J7" s="21" t="s">
        <v>50</v>
      </c>
      <c r="K7" s="26" t="s">
        <v>51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 t="s">
        <v>40</v>
      </c>
      <c r="B8" s="21">
        <v>18.0</v>
      </c>
      <c r="C8" s="22" t="s">
        <v>57</v>
      </c>
      <c r="D8" s="23" t="s">
        <v>59</v>
      </c>
      <c r="E8" s="21" t="s">
        <v>20</v>
      </c>
      <c r="F8" s="21">
        <v>2.0</v>
      </c>
      <c r="G8" s="20" t="s">
        <v>47</v>
      </c>
      <c r="H8" s="25" t="s">
        <v>60</v>
      </c>
      <c r="I8" s="21" t="s">
        <v>33</v>
      </c>
      <c r="J8" s="21" t="s">
        <v>50</v>
      </c>
      <c r="K8" s="26" t="s">
        <v>51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0"/>
      <c r="B9" s="21">
        <v>18.0</v>
      </c>
      <c r="C9" s="22"/>
      <c r="D9" s="32" t="s">
        <v>64</v>
      </c>
      <c r="E9" s="21" t="s">
        <v>22</v>
      </c>
      <c r="F9" s="21">
        <v>2.0</v>
      </c>
      <c r="G9" s="20" t="s">
        <v>47</v>
      </c>
      <c r="H9" s="25" t="s">
        <v>60</v>
      </c>
      <c r="I9" s="21" t="s">
        <v>33</v>
      </c>
      <c r="J9" s="21" t="s">
        <v>50</v>
      </c>
      <c r="K9" s="26" t="s">
        <v>51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40</v>
      </c>
      <c r="B10" s="21">
        <v>19.0</v>
      </c>
      <c r="C10" s="22" t="s">
        <v>67</v>
      </c>
      <c r="D10" s="32" t="s">
        <v>68</v>
      </c>
      <c r="E10" s="21" t="s">
        <v>20</v>
      </c>
      <c r="F10" s="21">
        <v>2.0</v>
      </c>
      <c r="G10" s="20" t="s">
        <v>47</v>
      </c>
      <c r="H10" s="25" t="s">
        <v>69</v>
      </c>
      <c r="I10" s="21" t="s">
        <v>33</v>
      </c>
      <c r="J10" s="21" t="s">
        <v>50</v>
      </c>
      <c r="K10" s="26" t="s">
        <v>51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5"/>
      <c r="B11" s="21">
        <v>19.0</v>
      </c>
      <c r="C11" s="22"/>
      <c r="D11" s="23" t="s">
        <v>70</v>
      </c>
      <c r="E11" s="21" t="s">
        <v>22</v>
      </c>
      <c r="F11" s="21">
        <v>2.0</v>
      </c>
      <c r="G11" s="20" t="s">
        <v>71</v>
      </c>
      <c r="H11" s="20" t="s">
        <v>48</v>
      </c>
      <c r="I11" s="21" t="s">
        <v>33</v>
      </c>
      <c r="J11" s="21" t="s">
        <v>50</v>
      </c>
      <c r="K11" s="26" t="s">
        <v>51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0" t="s">
        <v>72</v>
      </c>
      <c r="B12" s="21">
        <v>20.0</v>
      </c>
      <c r="C12" s="22" t="s">
        <v>73</v>
      </c>
      <c r="D12" s="23" t="s">
        <v>74</v>
      </c>
      <c r="E12" s="21" t="s">
        <v>20</v>
      </c>
      <c r="F12" s="21">
        <v>2.0</v>
      </c>
      <c r="G12" s="20" t="s">
        <v>71</v>
      </c>
      <c r="H12" s="25" t="s">
        <v>48</v>
      </c>
      <c r="I12" s="21" t="s">
        <v>38</v>
      </c>
      <c r="J12" s="21" t="s">
        <v>61</v>
      </c>
      <c r="K12" s="26" t="s">
        <v>75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5"/>
      <c r="B13" s="36">
        <v>20.0</v>
      </c>
      <c r="C13" s="38"/>
      <c r="D13" s="39" t="s">
        <v>76</v>
      </c>
      <c r="E13" s="21" t="s">
        <v>22</v>
      </c>
      <c r="F13" s="36">
        <v>2.0</v>
      </c>
      <c r="G13" s="20" t="s">
        <v>71</v>
      </c>
      <c r="H13" s="20" t="s">
        <v>48</v>
      </c>
      <c r="I13" s="21" t="s">
        <v>38</v>
      </c>
      <c r="J13" s="21" t="s">
        <v>61</v>
      </c>
      <c r="K13" s="26" t="s">
        <v>75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0" t="s">
        <v>72</v>
      </c>
      <c r="B14" s="21">
        <v>21.0</v>
      </c>
      <c r="C14" s="22" t="s">
        <v>77</v>
      </c>
      <c r="D14" s="23" t="s">
        <v>78</v>
      </c>
      <c r="E14" s="21" t="s">
        <v>20</v>
      </c>
      <c r="F14" s="21">
        <v>2.0</v>
      </c>
      <c r="G14" s="25" t="s">
        <v>79</v>
      </c>
      <c r="H14" s="25" t="s">
        <v>80</v>
      </c>
      <c r="I14" s="21" t="s">
        <v>38</v>
      </c>
      <c r="J14" s="21" t="s">
        <v>61</v>
      </c>
      <c r="K14" s="26" t="s">
        <v>81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0"/>
      <c r="B15" s="21">
        <v>21.0</v>
      </c>
      <c r="C15" s="22"/>
      <c r="D15" s="23" t="s">
        <v>82</v>
      </c>
      <c r="E15" s="21" t="s">
        <v>22</v>
      </c>
      <c r="F15" s="21">
        <v>4.0</v>
      </c>
      <c r="G15" s="40" t="s">
        <v>47</v>
      </c>
      <c r="H15" s="20" t="s">
        <v>83</v>
      </c>
      <c r="I15" s="21" t="s">
        <v>38</v>
      </c>
      <c r="J15" s="21" t="s">
        <v>65</v>
      </c>
      <c r="K15" s="26" t="s">
        <v>84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0" t="s">
        <v>40</v>
      </c>
      <c r="B16" s="21">
        <v>22.0</v>
      </c>
      <c r="C16" s="22" t="s">
        <v>85</v>
      </c>
      <c r="D16" s="23" t="s">
        <v>86</v>
      </c>
      <c r="E16" s="21" t="s">
        <v>20</v>
      </c>
      <c r="F16" s="21">
        <v>2.0</v>
      </c>
      <c r="G16" s="25" t="s">
        <v>47</v>
      </c>
      <c r="H16" s="20" t="s">
        <v>60</v>
      </c>
      <c r="I16" s="21" t="s">
        <v>33</v>
      </c>
      <c r="J16" s="21" t="s">
        <v>56</v>
      </c>
      <c r="K16" s="26" t="s">
        <v>75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0"/>
      <c r="B17" s="21">
        <v>22.0</v>
      </c>
      <c r="C17" s="22"/>
      <c r="D17" s="23" t="s">
        <v>87</v>
      </c>
      <c r="E17" s="21" t="s">
        <v>22</v>
      </c>
      <c r="F17" s="21">
        <v>2.0</v>
      </c>
      <c r="G17" s="25" t="s">
        <v>47</v>
      </c>
      <c r="H17" s="20" t="s">
        <v>60</v>
      </c>
      <c r="I17" s="21" t="s">
        <v>33</v>
      </c>
      <c r="J17" s="21" t="s">
        <v>56</v>
      </c>
      <c r="K17" s="26" t="s">
        <v>75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0" t="s">
        <v>40</v>
      </c>
      <c r="B18" s="21">
        <v>23.0</v>
      </c>
      <c r="C18" s="22" t="s">
        <v>88</v>
      </c>
      <c r="D18" s="23" t="s">
        <v>89</v>
      </c>
      <c r="E18" s="21" t="s">
        <v>20</v>
      </c>
      <c r="F18" s="21">
        <v>2.0</v>
      </c>
      <c r="G18" s="25" t="s">
        <v>47</v>
      </c>
      <c r="H18" s="20" t="s">
        <v>69</v>
      </c>
      <c r="I18" s="21" t="s">
        <v>33</v>
      </c>
      <c r="J18" s="21" t="s">
        <v>56</v>
      </c>
      <c r="K18" s="26" t="s">
        <v>75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5"/>
      <c r="B19" s="21">
        <v>23.0</v>
      </c>
      <c r="C19" s="41"/>
      <c r="D19" s="41" t="s">
        <v>90</v>
      </c>
      <c r="E19" s="21" t="s">
        <v>22</v>
      </c>
      <c r="F19" s="21">
        <v>2.0</v>
      </c>
      <c r="G19" s="20" t="s">
        <v>47</v>
      </c>
      <c r="H19" s="20" t="s">
        <v>60</v>
      </c>
      <c r="I19" s="21" t="s">
        <v>33</v>
      </c>
      <c r="J19" s="21" t="s">
        <v>56</v>
      </c>
      <c r="K19" s="26" t="s">
        <v>75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0" t="s">
        <v>40</v>
      </c>
      <c r="B20" s="21">
        <v>24.0</v>
      </c>
      <c r="C20" s="22" t="s">
        <v>91</v>
      </c>
      <c r="D20" s="23" t="s">
        <v>92</v>
      </c>
      <c r="E20" s="21" t="s">
        <v>20</v>
      </c>
      <c r="F20" s="21">
        <v>2.0</v>
      </c>
      <c r="G20" s="25" t="s">
        <v>47</v>
      </c>
      <c r="H20" s="20" t="s">
        <v>60</v>
      </c>
      <c r="I20" s="21" t="s">
        <v>33</v>
      </c>
      <c r="J20" s="21" t="s">
        <v>56</v>
      </c>
      <c r="K20" s="26" t="s">
        <v>75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20"/>
      <c r="B21" s="21">
        <v>24.0</v>
      </c>
      <c r="C21" s="22"/>
      <c r="D21" s="23" t="s">
        <v>93</v>
      </c>
      <c r="E21" s="21" t="s">
        <v>22</v>
      </c>
      <c r="F21" s="21">
        <v>4.0</v>
      </c>
      <c r="G21" s="25" t="s">
        <v>47</v>
      </c>
      <c r="H21" s="20" t="s">
        <v>94</v>
      </c>
      <c r="I21" s="21" t="s">
        <v>38</v>
      </c>
      <c r="J21" s="21" t="s">
        <v>61</v>
      </c>
      <c r="K21" s="26" t="s">
        <v>81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0" t="s">
        <v>40</v>
      </c>
      <c r="B22" s="21">
        <v>25.0</v>
      </c>
      <c r="C22" s="22" t="s">
        <v>95</v>
      </c>
      <c r="D22" s="23" t="s">
        <v>96</v>
      </c>
      <c r="E22" s="21" t="s">
        <v>20</v>
      </c>
      <c r="F22" s="21">
        <v>2.0</v>
      </c>
      <c r="G22" s="25" t="s">
        <v>47</v>
      </c>
      <c r="H22" s="20" t="s">
        <v>83</v>
      </c>
      <c r="I22" s="21" t="s">
        <v>43</v>
      </c>
      <c r="J22" s="21" t="s">
        <v>65</v>
      </c>
      <c r="K22" s="26" t="s">
        <v>81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20"/>
      <c r="B23" s="21">
        <v>25.0</v>
      </c>
      <c r="C23" s="22"/>
      <c r="D23" s="23" t="s">
        <v>97</v>
      </c>
      <c r="E23" s="21" t="s">
        <v>22</v>
      </c>
      <c r="F23" s="21">
        <v>2.0</v>
      </c>
      <c r="G23" s="25" t="s">
        <v>47</v>
      </c>
      <c r="H23" s="20" t="s">
        <v>60</v>
      </c>
      <c r="I23" s="21" t="s">
        <v>33</v>
      </c>
      <c r="J23" s="21" t="s">
        <v>56</v>
      </c>
      <c r="K23" s="26" t="s">
        <v>75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0" t="s">
        <v>72</v>
      </c>
      <c r="B24" s="21">
        <v>26.0</v>
      </c>
      <c r="C24" s="41" t="s">
        <v>98</v>
      </c>
      <c r="D24" s="23" t="s">
        <v>99</v>
      </c>
      <c r="E24" s="21" t="s">
        <v>20</v>
      </c>
      <c r="F24" s="21">
        <v>2.0</v>
      </c>
      <c r="G24" s="25" t="s">
        <v>79</v>
      </c>
      <c r="H24" s="20" t="s">
        <v>80</v>
      </c>
      <c r="I24" s="21" t="s">
        <v>38</v>
      </c>
      <c r="J24" s="21" t="s">
        <v>65</v>
      </c>
      <c r="K24" s="26" t="s">
        <v>100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0"/>
      <c r="B25" s="21">
        <v>26.0</v>
      </c>
      <c r="C25" s="41"/>
      <c r="D25" s="23" t="s">
        <v>101</v>
      </c>
      <c r="E25" s="21" t="s">
        <v>22</v>
      </c>
      <c r="F25" s="21">
        <v>4.0</v>
      </c>
      <c r="G25" s="25" t="s">
        <v>79</v>
      </c>
      <c r="H25" s="20" t="s">
        <v>69</v>
      </c>
      <c r="I25" s="21" t="s">
        <v>38</v>
      </c>
      <c r="J25" s="21" t="s">
        <v>65</v>
      </c>
      <c r="K25" s="26" t="s">
        <v>102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43" t="s">
        <v>103</v>
      </c>
      <c r="B26" s="44">
        <v>27.0</v>
      </c>
      <c r="C26" s="45" t="s">
        <v>104</v>
      </c>
      <c r="D26" s="23" t="s">
        <v>105</v>
      </c>
      <c r="E26" s="21" t="s">
        <v>20</v>
      </c>
      <c r="F26" s="44">
        <v>2.0</v>
      </c>
      <c r="G26" s="20" t="s">
        <v>47</v>
      </c>
      <c r="H26" s="20" t="s">
        <v>69</v>
      </c>
      <c r="I26" s="21" t="s">
        <v>33</v>
      </c>
      <c r="J26" s="21" t="s">
        <v>61</v>
      </c>
      <c r="K26" s="26" t="s">
        <v>102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20"/>
      <c r="B27" s="21">
        <v>27.0</v>
      </c>
      <c r="C27" s="41"/>
      <c r="D27" s="23" t="s">
        <v>106</v>
      </c>
      <c r="E27" s="21" t="s">
        <v>22</v>
      </c>
      <c r="F27" s="21">
        <v>2.0</v>
      </c>
      <c r="G27" s="20" t="s">
        <v>47</v>
      </c>
      <c r="H27" s="20" t="s">
        <v>60</v>
      </c>
      <c r="I27" s="21" t="s">
        <v>33</v>
      </c>
      <c r="J27" s="21" t="s">
        <v>61</v>
      </c>
      <c r="K27" s="26" t="s">
        <v>102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5" t="s">
        <v>103</v>
      </c>
      <c r="B28" s="21">
        <v>28.0</v>
      </c>
      <c r="C28" s="41" t="s">
        <v>107</v>
      </c>
      <c r="D28" s="41" t="s">
        <v>108</v>
      </c>
      <c r="E28" s="21" t="s">
        <v>20</v>
      </c>
      <c r="F28" s="21">
        <v>2.0</v>
      </c>
      <c r="G28" s="20" t="s">
        <v>47</v>
      </c>
      <c r="H28" s="20" t="s">
        <v>69</v>
      </c>
      <c r="I28" s="21" t="s">
        <v>33</v>
      </c>
      <c r="J28" s="21" t="s">
        <v>61</v>
      </c>
      <c r="K28" s="26" t="s">
        <v>102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25"/>
      <c r="B29" s="21">
        <v>28.0</v>
      </c>
      <c r="C29" s="41"/>
      <c r="D29" s="39" t="s">
        <v>109</v>
      </c>
      <c r="E29" s="21" t="s">
        <v>22</v>
      </c>
      <c r="F29" s="21">
        <v>2.0</v>
      </c>
      <c r="G29" s="20" t="s">
        <v>47</v>
      </c>
      <c r="H29" s="20" t="s">
        <v>60</v>
      </c>
      <c r="I29" s="21" t="s">
        <v>33</v>
      </c>
      <c r="J29" s="21" t="s">
        <v>61</v>
      </c>
      <c r="K29" s="26" t="s">
        <v>102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0" t="s">
        <v>103</v>
      </c>
      <c r="B30" s="21">
        <v>29.0</v>
      </c>
      <c r="C30" s="41" t="s">
        <v>110</v>
      </c>
      <c r="D30" s="23" t="s">
        <v>111</v>
      </c>
      <c r="E30" s="21" t="s">
        <v>20</v>
      </c>
      <c r="F30" s="21">
        <v>2.0</v>
      </c>
      <c r="G30" s="20" t="s">
        <v>47</v>
      </c>
      <c r="H30" s="20" t="s">
        <v>60</v>
      </c>
      <c r="I30" s="21" t="s">
        <v>33</v>
      </c>
      <c r="J30" s="21" t="s">
        <v>61</v>
      </c>
      <c r="K30" s="26" t="s">
        <v>102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0"/>
      <c r="B31" s="21">
        <v>29.0</v>
      </c>
      <c r="C31" s="41"/>
      <c r="D31" s="41" t="s">
        <v>112</v>
      </c>
      <c r="E31" s="21" t="s">
        <v>22</v>
      </c>
      <c r="F31" s="21">
        <v>4.0</v>
      </c>
      <c r="G31" s="20" t="s">
        <v>47</v>
      </c>
      <c r="H31" s="20" t="s">
        <v>83</v>
      </c>
      <c r="I31" s="21" t="s">
        <v>38</v>
      </c>
      <c r="J31" s="21" t="s">
        <v>65</v>
      </c>
      <c r="K31" s="26" t="s">
        <v>102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0" t="s">
        <v>103</v>
      </c>
      <c r="B32" s="21">
        <v>30.0</v>
      </c>
      <c r="C32" s="41" t="s">
        <v>114</v>
      </c>
      <c r="D32" s="23" t="s">
        <v>115</v>
      </c>
      <c r="E32" s="21" t="s">
        <v>20</v>
      </c>
      <c r="F32" s="21">
        <v>2.0</v>
      </c>
      <c r="G32" s="20" t="s">
        <v>79</v>
      </c>
      <c r="H32" s="20" t="s">
        <v>83</v>
      </c>
      <c r="I32" s="21" t="s">
        <v>43</v>
      </c>
      <c r="J32" s="21" t="s">
        <v>65</v>
      </c>
      <c r="K32" s="26" t="s">
        <v>102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20"/>
      <c r="B33" s="21">
        <v>30.0</v>
      </c>
      <c r="C33" s="41"/>
      <c r="D33" s="23" t="s">
        <v>116</v>
      </c>
      <c r="E33" s="21" t="s">
        <v>22</v>
      </c>
      <c r="F33" s="21">
        <v>4.0</v>
      </c>
      <c r="G33" s="20" t="s">
        <v>79</v>
      </c>
      <c r="H33" s="20" t="s">
        <v>83</v>
      </c>
      <c r="I33" s="21" t="s">
        <v>43</v>
      </c>
      <c r="J33" s="21" t="s">
        <v>65</v>
      </c>
      <c r="K33" s="26" t="s">
        <v>102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0" t="s">
        <v>103</v>
      </c>
      <c r="B34" s="21">
        <v>31.0</v>
      </c>
      <c r="C34" s="41" t="s">
        <v>117</v>
      </c>
      <c r="D34" s="23" t="s">
        <v>118</v>
      </c>
      <c r="E34" s="21" t="s">
        <v>20</v>
      </c>
      <c r="F34" s="21">
        <v>2.0</v>
      </c>
      <c r="G34" s="20" t="s">
        <v>79</v>
      </c>
      <c r="H34" s="20" t="s">
        <v>119</v>
      </c>
      <c r="I34" s="21" t="s">
        <v>43</v>
      </c>
      <c r="J34" s="21" t="s">
        <v>65</v>
      </c>
      <c r="K34" s="26" t="s">
        <v>100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25"/>
      <c r="B35" s="21">
        <v>31.0</v>
      </c>
      <c r="C35" s="41"/>
      <c r="D35" s="45" t="s">
        <v>120</v>
      </c>
      <c r="E35" s="21" t="s">
        <v>22</v>
      </c>
      <c r="F35" s="21">
        <v>2.0</v>
      </c>
      <c r="G35" s="20" t="s">
        <v>79</v>
      </c>
      <c r="H35" s="20" t="s">
        <v>83</v>
      </c>
      <c r="I35" s="21" t="s">
        <v>43</v>
      </c>
      <c r="J35" s="21" t="s">
        <v>65</v>
      </c>
      <c r="K35" s="26" t="s">
        <v>100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5" t="s">
        <v>103</v>
      </c>
      <c r="B36" s="36">
        <v>32.0</v>
      </c>
      <c r="C36" s="41" t="s">
        <v>121</v>
      </c>
      <c r="D36" s="23" t="s">
        <v>122</v>
      </c>
      <c r="E36" s="21" t="s">
        <v>20</v>
      </c>
      <c r="F36" s="21">
        <v>2.0</v>
      </c>
      <c r="G36" s="20" t="s">
        <v>79</v>
      </c>
      <c r="H36" s="20" t="s">
        <v>119</v>
      </c>
      <c r="I36" s="21" t="s">
        <v>43</v>
      </c>
      <c r="J36" s="21" t="s">
        <v>65</v>
      </c>
      <c r="K36" s="26" t="s">
        <v>100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"/>
      <c r="B37" s="1"/>
      <c r="C37" s="1"/>
      <c r="D37" s="49"/>
      <c r="E37" s="1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1" t="s">
        <v>123</v>
      </c>
      <c r="B38" s="52"/>
      <c r="C38" s="53"/>
      <c r="D38" s="54"/>
      <c r="E38" s="53"/>
      <c r="F38" s="55"/>
      <c r="G38" s="53"/>
      <c r="H38" s="53"/>
      <c r="I38" s="53"/>
      <c r="J38" s="53"/>
      <c r="K38" s="5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49"/>
      <c r="E39" s="1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56" t="s">
        <v>124</v>
      </c>
      <c r="E40" s="57">
        <f>SUMIF($E6:$E36,Glosario!$B$11,Cloudflare!$F6:$F36)</f>
        <v>32</v>
      </c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56" t="s">
        <v>125</v>
      </c>
      <c r="E41" s="57">
        <f>SUMIF($E6:$E36,Glosario!$B$12,Cloudflare!$F6:$F36)</f>
        <v>40</v>
      </c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56" t="s">
        <v>126</v>
      </c>
      <c r="E42" s="57">
        <f>SUM($E40:$E41)</f>
        <v>72</v>
      </c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56" t="s">
        <v>127</v>
      </c>
      <c r="E43" s="59">
        <f>$E$42/48</f>
        <v>1.5</v>
      </c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60" t="s">
        <v>128</v>
      </c>
      <c r="E44" s="61" t="str">
        <f>IF(EXACT(ROUNDUP($E$43,0),$B$3),"Ajustado a créditos",IF(ROUNDUP($E$43,0)&gt;$B$3,"Excedido en créditos","Créditos subutilizados"))</f>
        <v>Créditos subutilizados</v>
      </c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49"/>
      <c r="E45" s="1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130</v>
      </c>
      <c r="B46" s="62" t="s">
        <v>131</v>
      </c>
      <c r="C46" s="1"/>
      <c r="D46" s="49"/>
      <c r="E46" s="1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49"/>
      <c r="E47" s="1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D1"/>
    <mergeCell ref="B2:D2"/>
    <mergeCell ref="B3:D3"/>
    <mergeCell ref="A38:B38"/>
  </mergeCells>
  <dataValidations>
    <dataValidation type="list" allowBlank="1" sqref="E6:E36">
      <formula1>Glosario!$B$11:$B$12</formula1>
    </dataValidation>
    <dataValidation type="list" allowBlank="1" sqref="B1">
      <formula1>Glosario!$C$3:$C$8</formula1>
    </dataValidation>
    <dataValidation type="list" allowBlank="1" sqref="I6:I36">
      <formula1>Glosario!$B$15:$B$18</formula1>
    </dataValidation>
    <dataValidation type="list" allowBlank="1" sqref="J6:J36">
      <formula1>Glosario!$B$21:$B$25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7.43"/>
    <col customWidth="1" min="3" max="3" width="112.43"/>
    <col customWidth="1" min="4" max="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4</v>
      </c>
      <c r="C3" s="10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5</v>
      </c>
      <c r="C4" s="10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7</v>
      </c>
      <c r="C5" s="10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9</v>
      </c>
      <c r="C6" s="10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10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13</v>
      </c>
      <c r="C8" s="10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17</v>
      </c>
      <c r="C10" s="4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20</v>
      </c>
      <c r="C11" s="12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22</v>
      </c>
      <c r="C12" s="12" t="s">
        <v>23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 t="s">
        <v>26</v>
      </c>
      <c r="C14" s="4" t="s">
        <v>18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33</v>
      </c>
      <c r="C15" s="12" t="s">
        <v>35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38</v>
      </c>
      <c r="C16" s="12" t="s">
        <v>39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41</v>
      </c>
      <c r="C17" s="12" t="s">
        <v>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43</v>
      </c>
      <c r="C18" s="12" t="s">
        <v>45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49</v>
      </c>
      <c r="C20" s="4" t="s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 t="s">
        <v>50</v>
      </c>
      <c r="C21" s="10" t="s">
        <v>52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 t="s">
        <v>53</v>
      </c>
      <c r="C22" s="10" t="s">
        <v>55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" t="s">
        <v>56</v>
      </c>
      <c r="C23" s="10" t="s">
        <v>58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 t="s">
        <v>61</v>
      </c>
      <c r="C24" s="10" t="s">
        <v>62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 t="s">
        <v>65</v>
      </c>
      <c r="C25" s="10" t="s">
        <v>66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2025-09-03T15:18:12Z</dcterms:created>
  <dc:creator>Juan Felipe Aranguren Checa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0x0101004CDC6FEAFB3AC94D8A25FE88434739E5</vt:lpwstr>
  </property>
</Properties>
</file>